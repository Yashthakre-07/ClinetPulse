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1" fontId="4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6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 Revenue Breakdown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Summary'!$B$9:$B$19</f>
            </numRef>
          </cat>
          <val>
            <numRef>
              <f>'Executive Summary'!$F$9:$F$19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5" customWidth="1" min="3" max="3"/>
    <col width="17" customWidth="1" min="4" max="4"/>
    <col width="24" customWidth="1" min="5" max="5"/>
    <col width="17" customWidth="1" min="6" max="6"/>
    <col width="18" customWidth="1" min="7" max="7"/>
    <col width="22" customWidth="1" min="8" max="8"/>
    <col width="23" customWidth="1" min="9" max="9"/>
    <col width="25" customWidth="1" min="10" max="10"/>
    <col width="18" customWidth="1" min="11" max="11"/>
    <col width="12" customWidth="1" min="12" max="12"/>
    <col width="14" customWidth="1" min="13" max="13"/>
  </cols>
  <sheetData>
    <row r="1">
      <c r="A1" s="1" t="inlineStr">
        <is>
          <t>ClientPulse — Executive Financial &amp; Analytics Report</t>
        </is>
      </c>
    </row>
    <row r="2">
      <c r="A2" s="2" t="inlineStr">
        <is>
          <t>Automated Reporting Model | Period: 2026-05 | Confidential</t>
        </is>
      </c>
    </row>
    <row r="3"/>
    <row r="4">
      <c r="A4" s="3" t="inlineStr">
        <is>
          <t>TOTAL MONTHLY REVENUE</t>
        </is>
      </c>
      <c r="C4" s="3" t="inlineStr">
        <is>
          <t>ANNUAL RUN RATE (ARR)</t>
        </is>
      </c>
      <c r="E4" s="3" t="inlineStr">
        <is>
          <t>AVG PROFIT MARGIN</t>
        </is>
      </c>
      <c r="G4" s="3" t="inlineStr">
        <is>
          <t>ACTIVE CLIENTS</t>
        </is>
      </c>
      <c r="I4" s="3" t="inlineStr">
        <is>
          <t>CHURN RISK ACCOUNTS</t>
        </is>
      </c>
    </row>
    <row r="5">
      <c r="A5" s="4">
        <f>SUM(F9:F19)</f>
        <v/>
      </c>
      <c r="C5" s="4">
        <f>F4*12</f>
        <v/>
      </c>
      <c r="E5" s="5">
        <f>AVERAGE(I9:I19)/100</f>
        <v/>
      </c>
      <c r="G5" s="6" t="n">
        <v>11</v>
      </c>
      <c r="I5" s="6">
        <f>COUNTIF(M9:M19, 1)</f>
        <v/>
      </c>
    </row>
    <row r="6"/>
    <row r="7"/>
    <row r="8">
      <c r="A8" s="7" t="inlineStr">
        <is>
          <t>Client ID</t>
        </is>
      </c>
      <c r="B8" s="8" t="inlineStr">
        <is>
          <t>Client Name</t>
        </is>
      </c>
      <c r="C8" s="8" t="inlineStr">
        <is>
          <t>Industry</t>
        </is>
      </c>
      <c r="D8" s="8" t="inlineStr">
        <is>
          <t>Region</t>
        </is>
      </c>
      <c r="E8" s="7" t="inlineStr">
        <is>
          <t>Contract Tier</t>
        </is>
      </c>
      <c r="F8" s="7" t="inlineStr">
        <is>
          <t>Gross Revenue</t>
        </is>
      </c>
      <c r="G8" s="7" t="inlineStr">
        <is>
          <t>Total Cost</t>
        </is>
      </c>
      <c r="H8" s="7" t="inlineStr">
        <is>
          <t>Net Profit</t>
        </is>
      </c>
      <c r="I8" s="7" t="inlineStr">
        <is>
          <t>Profit Margin %</t>
        </is>
      </c>
      <c r="J8" s="7" t="inlineStr">
        <is>
          <t>MoM Growth %</t>
        </is>
      </c>
      <c r="K8" s="7" t="inlineStr">
        <is>
          <t>3M Avg Revenue</t>
        </is>
      </c>
      <c r="L8" s="7" t="inlineStr">
        <is>
          <t>Avg CSAT</t>
        </is>
      </c>
      <c r="M8" s="7" t="inlineStr">
        <is>
          <t>Churn Risk</t>
        </is>
      </c>
    </row>
    <row r="9">
      <c r="A9" s="9" t="inlineStr">
        <is>
          <t>CLT-105</t>
        </is>
      </c>
      <c r="B9" s="10" t="inlineStr">
        <is>
          <t>Vanguard BioMed</t>
        </is>
      </c>
      <c r="C9" s="10" t="inlineStr">
        <is>
          <t>Healthcare</t>
        </is>
      </c>
      <c r="D9" s="10" t="inlineStr">
        <is>
          <t>North America</t>
        </is>
      </c>
      <c r="E9" s="9" t="inlineStr">
        <is>
          <t>Enterprise</t>
        </is>
      </c>
      <c r="F9" s="11" t="n">
        <v>38236.66</v>
      </c>
      <c r="G9" s="11" t="n">
        <v>16321.28</v>
      </c>
      <c r="H9" s="11" t="n">
        <v>21915.38</v>
      </c>
      <c r="I9" s="12" t="n">
        <v>0.5732</v>
      </c>
      <c r="J9" s="12" t="n">
        <v>0.0032</v>
      </c>
      <c r="K9" s="11" t="n">
        <v>37865.61</v>
      </c>
      <c r="L9" s="13" t="n">
        <v>3.08</v>
      </c>
      <c r="M9" s="9" t="inlineStr">
        <is>
          <t>STABLE</t>
        </is>
      </c>
    </row>
    <row r="10">
      <c r="A10" s="9" t="inlineStr">
        <is>
          <t>CLT-109</t>
        </is>
      </c>
      <c r="B10" s="10" t="inlineStr">
        <is>
          <t>CyberShield Security</t>
        </is>
      </c>
      <c r="C10" s="10" t="inlineStr">
        <is>
          <t>SaaS</t>
        </is>
      </c>
      <c r="D10" s="10" t="inlineStr">
        <is>
          <t>North America</t>
        </is>
      </c>
      <c r="E10" s="9" t="inlineStr">
        <is>
          <t>Enterprise</t>
        </is>
      </c>
      <c r="F10" s="11" t="n">
        <v>28799.67</v>
      </c>
      <c r="G10" s="11" t="n">
        <v>10083.2</v>
      </c>
      <c r="H10" s="11" t="n">
        <v>18716.47</v>
      </c>
      <c r="I10" s="12" t="n">
        <v>0.6498999999999999</v>
      </c>
      <c r="J10" s="12" t="n">
        <v>0.0425</v>
      </c>
      <c r="K10" s="11" t="n">
        <v>28313.58</v>
      </c>
      <c r="L10" s="13" t="n">
        <v>4.41</v>
      </c>
      <c r="M10" s="9" t="inlineStr">
        <is>
          <t>STABLE</t>
        </is>
      </c>
    </row>
    <row r="11">
      <c r="A11" s="9" t="inlineStr">
        <is>
          <t>CLT-102</t>
        </is>
      </c>
      <c r="B11" s="10" t="inlineStr">
        <is>
          <t>Finova Capital</t>
        </is>
      </c>
      <c r="C11" s="10" t="inlineStr">
        <is>
          <t>FinTech</t>
        </is>
      </c>
      <c r="D11" s="10" t="inlineStr">
        <is>
          <t>North America</t>
        </is>
      </c>
      <c r="E11" s="9" t="inlineStr">
        <is>
          <t>Enterprise</t>
        </is>
      </c>
      <c r="F11" s="11" t="n">
        <v>27586.49</v>
      </c>
      <c r="G11" s="11" t="n">
        <v>10566.81</v>
      </c>
      <c r="H11" s="11" t="n">
        <v>17019.68</v>
      </c>
      <c r="I11" s="12" t="n">
        <v>0.617</v>
      </c>
      <c r="J11" s="12" t="n">
        <v>-0.0369</v>
      </c>
      <c r="K11" s="11" t="n">
        <v>28615.24</v>
      </c>
      <c r="L11" s="13" t="n">
        <v>4.67</v>
      </c>
      <c r="M11" s="9" t="inlineStr">
        <is>
          <t>STABLE</t>
        </is>
      </c>
    </row>
    <row r="12">
      <c r="A12" s="9" t="inlineStr">
        <is>
          <t>CLT-101</t>
        </is>
      </c>
      <c r="B12" s="10" t="inlineStr">
        <is>
          <t>Apex Health Systems</t>
        </is>
      </c>
      <c r="C12" s="10" t="inlineStr">
        <is>
          <t>Healthcare</t>
        </is>
      </c>
      <c r="D12" s="10" t="inlineStr">
        <is>
          <t>North America</t>
        </is>
      </c>
      <c r="E12" s="9" t="inlineStr">
        <is>
          <t>Enterprise</t>
        </is>
      </c>
      <c r="F12" s="11" t="n">
        <v>26853.02</v>
      </c>
      <c r="G12" s="11" t="n">
        <v>11399.08</v>
      </c>
      <c r="H12" s="11" t="n">
        <v>15453.94</v>
      </c>
      <c r="I12" s="12" t="n">
        <v>0.5755</v>
      </c>
      <c r="J12" s="12" t="n">
        <v>-0.026</v>
      </c>
      <c r="K12" s="11" t="n">
        <v>27102.68</v>
      </c>
      <c r="L12" s="13" t="n">
        <v>3.09</v>
      </c>
      <c r="M12" s="9" t="inlineStr">
        <is>
          <t>STABLE</t>
        </is>
      </c>
    </row>
    <row r="13">
      <c r="A13" s="9" t="inlineStr">
        <is>
          <t>CLT-107</t>
        </is>
      </c>
      <c r="B13" s="10" t="inlineStr">
        <is>
          <t>BlueSky Tech</t>
        </is>
      </c>
      <c r="C13" s="10" t="inlineStr">
        <is>
          <t>SaaS</t>
        </is>
      </c>
      <c r="D13" s="10" t="inlineStr">
        <is>
          <t>North America</t>
        </is>
      </c>
      <c r="E13" s="9" t="inlineStr">
        <is>
          <t>Enterprise</t>
        </is>
      </c>
      <c r="F13" s="11" t="n">
        <v>26457.48</v>
      </c>
      <c r="G13" s="11" t="n">
        <v>10150.14</v>
      </c>
      <c r="H13" s="11" t="n">
        <v>16307.34</v>
      </c>
      <c r="I13" s="12" t="n">
        <v>0.6164000000000001</v>
      </c>
      <c r="J13" s="12" t="n">
        <v>0.0268</v>
      </c>
      <c r="K13" s="11" t="n">
        <v>26274.62</v>
      </c>
      <c r="L13" s="13" t="n">
        <v>4.18</v>
      </c>
      <c r="M13" s="9" t="inlineStr">
        <is>
          <t>STABLE</t>
        </is>
      </c>
    </row>
    <row r="14">
      <c r="A14" s="9" t="inlineStr">
        <is>
          <t>CLT-108</t>
        </is>
      </c>
      <c r="B14" s="10" t="inlineStr">
        <is>
          <t>Global Trade Corp</t>
        </is>
      </c>
      <c r="C14" s="10" t="inlineStr">
        <is>
          <t>Logistics</t>
        </is>
      </c>
      <c r="D14" s="10" t="inlineStr">
        <is>
          <t>APAC</t>
        </is>
      </c>
      <c r="E14" s="9" t="inlineStr">
        <is>
          <t>Mid-Market</t>
        </is>
      </c>
      <c r="F14" s="11" t="n">
        <v>17699.26</v>
      </c>
      <c r="G14" s="11" t="n">
        <v>6721.03</v>
      </c>
      <c r="H14" s="11" t="n">
        <v>10978.23</v>
      </c>
      <c r="I14" s="12" t="n">
        <v>0.6203</v>
      </c>
      <c r="J14" s="12" t="n">
        <v>0.0509</v>
      </c>
      <c r="K14" s="11" t="n">
        <v>17014.8</v>
      </c>
      <c r="L14" s="13" t="n">
        <v>4.31</v>
      </c>
      <c r="M14" s="9" t="inlineStr">
        <is>
          <t>STABLE</t>
        </is>
      </c>
    </row>
    <row r="15">
      <c r="A15" s="9" t="inlineStr">
        <is>
          <t>CLT-103</t>
        </is>
      </c>
      <c r="B15" s="10" t="inlineStr">
        <is>
          <t>Nexus Logistics</t>
        </is>
      </c>
      <c r="C15" s="10" t="inlineStr">
        <is>
          <t>Logistics</t>
        </is>
      </c>
      <c r="D15" s="10" t="inlineStr">
        <is>
          <t>Europe</t>
        </is>
      </c>
      <c r="E15" s="9" t="inlineStr">
        <is>
          <t>Mid-Market</t>
        </is>
      </c>
      <c r="F15" s="11" t="n">
        <v>14204.56</v>
      </c>
      <c r="G15" s="11" t="n">
        <v>5888.5</v>
      </c>
      <c r="H15" s="11" t="n">
        <v>8316.059999999999</v>
      </c>
      <c r="I15" s="12" t="n">
        <v>0.5855</v>
      </c>
      <c r="J15" s="12" t="n">
        <v>-0.0269</v>
      </c>
      <c r="K15" s="11" t="n">
        <v>14219.49</v>
      </c>
      <c r="L15" s="13" t="n">
        <v>4.01</v>
      </c>
      <c r="M15" s="9" t="inlineStr">
        <is>
          <t>STABLE</t>
        </is>
      </c>
    </row>
    <row r="16">
      <c r="A16" s="9" t="inlineStr">
        <is>
          <t>CLT-104</t>
        </is>
      </c>
      <c r="B16" s="10" t="inlineStr">
        <is>
          <t>Quantum Retail</t>
        </is>
      </c>
      <c r="C16" s="10" t="inlineStr">
        <is>
          <t>E-Commerce</t>
        </is>
      </c>
      <c r="D16" s="10" t="inlineStr">
        <is>
          <t>APAC</t>
        </is>
      </c>
      <c r="E16" s="9" t="inlineStr">
        <is>
          <t>Mid-Market</t>
        </is>
      </c>
      <c r="F16" s="11" t="n">
        <v>13749.9</v>
      </c>
      <c r="G16" s="11" t="n">
        <v>5459.66</v>
      </c>
      <c r="H16" s="11" t="n">
        <v>8290.24</v>
      </c>
      <c r="I16" s="12" t="n">
        <v>0.6029</v>
      </c>
      <c r="J16" s="12" t="n">
        <v>-0.0361</v>
      </c>
      <c r="K16" s="11" t="n">
        <v>13905.87</v>
      </c>
      <c r="L16" s="13" t="n">
        <v>4.35</v>
      </c>
      <c r="M16" s="9" t="inlineStr">
        <is>
          <t>STABLE</t>
        </is>
      </c>
    </row>
    <row r="17">
      <c r="A17" s="9" t="inlineStr">
        <is>
          <t>CLT-110</t>
        </is>
      </c>
      <c r="B17" s="10" t="inlineStr">
        <is>
          <t>OmniPay Solutions</t>
        </is>
      </c>
      <c r="C17" s="10" t="inlineStr">
        <is>
          <t>FinTech</t>
        </is>
      </c>
      <c r="D17" s="10" t="inlineStr">
        <is>
          <t>Europe</t>
        </is>
      </c>
      <c r="E17" s="9" t="inlineStr">
        <is>
          <t>Mid-Market</t>
        </is>
      </c>
      <c r="F17" s="11" t="n">
        <v>13643.99</v>
      </c>
      <c r="G17" s="11" t="n">
        <v>5237.33</v>
      </c>
      <c r="H17" s="11" t="n">
        <v>8406.66</v>
      </c>
      <c r="I17" s="12" t="n">
        <v>0.6161</v>
      </c>
      <c r="J17" s="12" t="n">
        <v>0.05690000000000001</v>
      </c>
      <c r="K17" s="11" t="n">
        <v>13267.11</v>
      </c>
      <c r="L17" s="13" t="n">
        <v>2.24</v>
      </c>
      <c r="M17" s="14" t="inlineStr">
        <is>
          <t>RISK</t>
        </is>
      </c>
    </row>
    <row r="18">
      <c r="A18" s="9" t="inlineStr">
        <is>
          <t>CLT-112</t>
        </is>
      </c>
      <c r="B18" s="10" t="inlineStr">
        <is>
          <t>Velocity Mobility</t>
        </is>
      </c>
      <c r="C18" s="10" t="inlineStr">
        <is>
          <t>Automotive</t>
        </is>
      </c>
      <c r="D18" s="10" t="inlineStr">
        <is>
          <t>APAC</t>
        </is>
      </c>
      <c r="E18" s="9" t="inlineStr">
        <is>
          <t>Mid-Market</t>
        </is>
      </c>
      <c r="F18" s="11" t="n">
        <v>10619.67</v>
      </c>
      <c r="G18" s="11" t="n">
        <v>3846.61</v>
      </c>
      <c r="H18" s="11" t="n">
        <v>6773.059999999999</v>
      </c>
      <c r="I18" s="12" t="n">
        <v>0.6378</v>
      </c>
      <c r="J18" s="12" t="n">
        <v>-0.021</v>
      </c>
      <c r="K18" s="11" t="n">
        <v>10783.53</v>
      </c>
      <c r="L18" s="13" t="n">
        <v>4.09</v>
      </c>
      <c r="M18" s="9" t="inlineStr">
        <is>
          <t>STABLE</t>
        </is>
      </c>
    </row>
    <row r="19">
      <c r="A19" s="9" t="inlineStr">
        <is>
          <t>CLT-111</t>
        </is>
      </c>
      <c r="B19" s="10" t="inlineStr">
        <is>
          <t>GreenGrid Energy</t>
        </is>
      </c>
      <c r="C19" s="10" t="inlineStr">
        <is>
          <t>CleanTech</t>
        </is>
      </c>
      <c r="D19" s="10" t="inlineStr">
        <is>
          <t>North America</t>
        </is>
      </c>
      <c r="E19" s="9" t="inlineStr">
        <is>
          <t>SMB</t>
        </is>
      </c>
      <c r="F19" s="11" t="n">
        <v>5799.5</v>
      </c>
      <c r="G19" s="11" t="n">
        <v>2404.67</v>
      </c>
      <c r="H19" s="11" t="n">
        <v>3394.83</v>
      </c>
      <c r="I19" s="12" t="n">
        <v>0.5854</v>
      </c>
      <c r="J19" s="12" t="n">
        <v>0.0503</v>
      </c>
      <c r="K19" s="11" t="n">
        <v>5564.45</v>
      </c>
      <c r="L19" s="13" t="n">
        <v>4.03</v>
      </c>
      <c r="M19" s="9" t="inlineStr">
        <is>
          <t>STABLE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2026-08-17T12:08:09Z</dcterms:created>
  <dcterms:modified xmlns:dcterms="http://purl.org/dc/terms/" xmlns:xsi="http://www.w3.org/2001/XMLSchema-instance" xsi:type="dcterms:W3CDTF">2026-08-17T12:08:09Z</dcterms:modified>
</cp:coreProperties>
</file>